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GVX0EPF0006C944\EXCELCNV\ab7c6e93-1769-4af5-8c20-ab79c0ba1b21\"/>
    </mc:Choice>
  </mc:AlternateContent>
  <xr:revisionPtr revIDLastSave="61" documentId="8_{FEDCE662-FC2F-4657-804B-21E801B2658A}" xr6:coauthVersionLast="47" xr6:coauthVersionMax="47" xr10:uidLastSave="{8478770B-A24E-493F-8C3F-123A8E6B0DE0}"/>
  <bookViews>
    <workbookView xWindow="-60" yWindow="-60" windowWidth="15480" windowHeight="11640" xr2:uid="{B855E3A8-9114-466F-B78E-A11046F291AA}"/>
  </bookViews>
  <sheets>
    <sheet name="Yhteenveto" sheetId="1" r:id="rId1"/>
    <sheet name="Erittely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1" l="1"/>
  <c r="G67" i="1"/>
  <c r="G10" i="1"/>
  <c r="G15" i="1"/>
  <c r="G16" i="1"/>
  <c r="C11" i="2"/>
  <c r="C17" i="2"/>
  <c r="C25" i="2"/>
  <c r="C32" i="2"/>
  <c r="C39" i="2"/>
  <c r="C45" i="2"/>
  <c r="C47" i="2"/>
  <c r="C56" i="2"/>
  <c r="C62" i="2"/>
  <c r="C67" i="2"/>
  <c r="C69" i="2"/>
  <c r="C71" i="2"/>
  <c r="G6" i="1"/>
  <c r="G7" i="1"/>
  <c r="E57" i="1"/>
  <c r="G57" i="1"/>
  <c r="E59" i="1"/>
  <c r="G59" i="1"/>
  <c r="G18" i="1"/>
  <c r="G62" i="1"/>
  <c r="G64" i="1"/>
  <c r="G76" i="1"/>
  <c r="F96" i="1"/>
  <c r="G97" i="1"/>
  <c r="D112" i="1"/>
  <c r="D111" i="1"/>
  <c r="D110" i="1" s="1"/>
  <c r="E112" i="1"/>
  <c r="E111" i="1"/>
  <c r="E110" i="1"/>
  <c r="F112" i="1"/>
  <c r="F111" i="1"/>
  <c r="F110" i="1"/>
  <c r="G112" i="1"/>
  <c r="G111" i="1"/>
  <c r="G110" i="1"/>
  <c r="D116" i="1"/>
  <c r="D117" i="1"/>
  <c r="E113" i="1"/>
  <c r="F113" i="1"/>
  <c r="G113" i="1"/>
  <c r="H113" i="1"/>
  <c r="G126" i="1"/>
  <c r="H114" i="1"/>
  <c r="G127" i="1"/>
  <c r="H115" i="1"/>
  <c r="G128" i="1"/>
  <c r="G116" i="1"/>
  <c r="G117" i="1"/>
  <c r="G131" i="1"/>
  <c r="G132" i="1"/>
  <c r="G133" i="1"/>
  <c r="G137" i="1"/>
  <c r="E58" i="1"/>
  <c r="G58" i="1"/>
  <c r="H112" i="1"/>
  <c r="H116" i="1"/>
  <c r="H117" i="1"/>
  <c r="G60" i="1"/>
  <c r="G78" i="1"/>
  <c r="G135" i="1"/>
  <c r="H110" i="1"/>
  <c r="G122" i="1"/>
  <c r="H111" i="1"/>
  <c r="G123" i="1"/>
  <c r="G124" i="1" s="1"/>
  <c r="E116" i="1"/>
  <c r="E117" i="1"/>
  <c r="F116" i="1"/>
  <c r="F117" i="1"/>
  <c r="H124" i="1"/>
  <c r="G129" i="1"/>
  <c r="G134" i="1"/>
  <c r="H129" i="1"/>
  <c r="H134" i="1"/>
  <c r="G136" i="1"/>
  <c r="G138" i="1"/>
  <c r="H136" i="1"/>
  <c r="H138" i="1"/>
  <c r="G140" i="1"/>
  <c r="H140" i="1"/>
  <c r="G19" i="1" l="1"/>
  <c r="G23" i="1" s="1"/>
  <c r="G12" i="1"/>
  <c r="G22" i="1" s="1"/>
  <c r="G24" i="1" l="1"/>
  <c r="G25" i="1" s="1"/>
  <c r="G32" i="1" s="1"/>
  <c r="G68" i="1" l="1"/>
  <c r="G69" i="1" s="1"/>
  <c r="G75" i="1" s="1"/>
  <c r="G77" i="1" s="1"/>
  <c r="G79" i="1" s="1"/>
  <c r="G98" i="1" s="1"/>
  <c r="G34" i="1"/>
</calcChain>
</file>

<file path=xl/sharedStrings.xml><?xml version="1.0" encoding="utf-8"?>
<sst xmlns="http://schemas.openxmlformats.org/spreadsheetml/2006/main" count="172" uniqueCount="145">
  <si>
    <t>Perustettavan yrityksen laskelmat</t>
  </si>
  <si>
    <t>PÄÄOMAN TARVE</t>
  </si>
  <si>
    <t>Investoinnit</t>
  </si>
  <si>
    <t>+ maa-alueet</t>
  </si>
  <si>
    <t>+ rakennukset</t>
  </si>
  <si>
    <t>+ koneet</t>
  </si>
  <si>
    <t>+ laitteet ja kalusteet</t>
  </si>
  <si>
    <t>+ asennukset, muutostyöt yms.</t>
  </si>
  <si>
    <t>+ muut investointiluonteiset kulut</t>
  </si>
  <si>
    <t>= INVESTOINNIT YHTEENSÄ</t>
  </si>
  <si>
    <t>Käyttöpääoma</t>
  </si>
  <si>
    <t>+ kulut ennen toiminnan aloittamista</t>
  </si>
  <si>
    <t>kk</t>
  </si>
  <si>
    <t>+ ensimmäisten toimintakuukausien kulut</t>
  </si>
  <si>
    <t>3 kk</t>
  </si>
  <si>
    <t xml:space="preserve">  (ennen kuin tulorahoitusta kertyy riittävästi)</t>
  </si>
  <si>
    <t>+ tarvittavat käteisvarat</t>
  </si>
  <si>
    <t>= KÄYTTÖPÄÄOMA YHTEENSÄ</t>
  </si>
  <si>
    <t>+ Investoinnit</t>
  </si>
  <si>
    <t>+ Käyttöpääoma</t>
  </si>
  <si>
    <t>+ Kustannusylitysvaraus</t>
  </si>
  <si>
    <t>= PÄÄOMAN TARVE YHTEENSÄ</t>
  </si>
  <si>
    <t>RAHOITUS</t>
  </si>
  <si>
    <t>+ oma rahoitus</t>
  </si>
  <si>
    <t>+ vieras rahoitus</t>
  </si>
  <si>
    <t>+ avustukset</t>
  </si>
  <si>
    <t>= RAHOITUS YHTEENSÄ</t>
  </si>
  <si>
    <t>Vieras rahoitus haetaan seuraavasti:</t>
  </si>
  <si>
    <t>Luotonantaja</t>
  </si>
  <si>
    <t>€</t>
  </si>
  <si>
    <t>luottoaika (v)</t>
  </si>
  <si>
    <t>korko-%</t>
  </si>
  <si>
    <t>Rahalaitos x</t>
  </si>
  <si>
    <t>Rahalaitos y</t>
  </si>
  <si>
    <t>Vakuuksia on käytettävissä seuraavasti:</t>
  </si>
  <si>
    <t>Vakuus</t>
  </si>
  <si>
    <t>Käypä arvo</t>
  </si>
  <si>
    <t>Vakuusarvo</t>
  </si>
  <si>
    <t>MYYNTIKATETARPEEN MÄÄRITTELY</t>
  </si>
  <si>
    <t>Taustatietoja</t>
  </si>
  <si>
    <t>POISTOT</t>
  </si>
  <si>
    <t>pääoma</t>
  </si>
  <si>
    <t>poisto-%</t>
  </si>
  <si>
    <t>poisto</t>
  </si>
  <si>
    <t>+ koneet ja kalusteet</t>
  </si>
  <si>
    <t>+ muut</t>
  </si>
  <si>
    <t>= POISTOT YHTEENSÄ</t>
  </si>
  <si>
    <t>LAINAN LYHENNYKSET (€/vuosi)</t>
  </si>
  <si>
    <t>KORKOKULUT (ensimmäisenä vuonna)</t>
  </si>
  <si>
    <t>SIJOITETTU PÄÄOMA:</t>
  </si>
  <si>
    <t>+ oma pääoma</t>
  </si>
  <si>
    <t>+ korollinen vieras pääoma</t>
  </si>
  <si>
    <t>= SIJOITETTU PÄÄOMA YHTEENSÄ</t>
  </si>
  <si>
    <t>HALUTTU PÄÄOMAN TUOTTOASTE-%:</t>
  </si>
  <si>
    <t>Myyntikatetarvelaskelma</t>
  </si>
  <si>
    <t>Tavoitetulos (ennen veroja)</t>
  </si>
  <si>
    <t>+ Korot ja muut rahoituskulut</t>
  </si>
  <si>
    <t>= LIIKETULOSTARVE</t>
  </si>
  <si>
    <t>+ Poistot/lainan lyhennykset</t>
  </si>
  <si>
    <t>= KÄYTTÖKATETARVE</t>
  </si>
  <si>
    <t>+ KIINTEÄT KULUT</t>
  </si>
  <si>
    <t>* Kiinteät palkat sivukuluineen</t>
  </si>
  <si>
    <t>* Vuokrat</t>
  </si>
  <si>
    <t>* Muut kiinteät kulut</t>
  </si>
  <si>
    <t xml:space="preserve">  + markkinointi</t>
  </si>
  <si>
    <t xml:space="preserve">  + matka- ja pv-rahat</t>
  </si>
  <si>
    <t xml:space="preserve">  + sähkö, lämpö, vesi</t>
  </si>
  <si>
    <t xml:space="preserve">  + puhtaanapito, siivous</t>
  </si>
  <si>
    <t xml:space="preserve">  + konttori/toimistokulut</t>
  </si>
  <si>
    <t xml:space="preserve">  + kirjanpito</t>
  </si>
  <si>
    <t xml:space="preserve">  + vakuutukset</t>
  </si>
  <si>
    <t xml:space="preserve">  + kirjat, lehdet, jäsenm.</t>
  </si>
  <si>
    <t xml:space="preserve">  + koulutus</t>
  </si>
  <si>
    <t xml:space="preserve">  + edustus</t>
  </si>
  <si>
    <t xml:space="preserve">  + ulkop.palvelut</t>
  </si>
  <si>
    <t xml:space="preserve">  + korj./huollot</t>
  </si>
  <si>
    <t xml:space="preserve">  + muut</t>
  </si>
  <si>
    <t>Kiinteät kulut yhteensä</t>
  </si>
  <si>
    <t>= MYYNTIKATETARVE</t>
  </si>
  <si>
    <t>MYYNTI- JA MYYNTIKATEBUDJETTI</t>
  </si>
  <si>
    <t>Tuote tms. 1</t>
  </si>
  <si>
    <t>Tuote tms. 2</t>
  </si>
  <si>
    <t>Tuote tms. 3</t>
  </si>
  <si>
    <t>Tuote tms. 4</t>
  </si>
  <si>
    <t>Yhteensä</t>
  </si>
  <si>
    <t>Määrä</t>
  </si>
  <si>
    <t>Myyntihinta/kpl (veroton)</t>
  </si>
  <si>
    <t>Aine- ja tarvikeostot/kpl (veroton)</t>
  </si>
  <si>
    <t>Myyntituotot (verollinen)</t>
  </si>
  <si>
    <t>- oikaisuerät (alv 22 %)</t>
  </si>
  <si>
    <t>= LIIKEVAIHTO</t>
  </si>
  <si>
    <t>- aineet ja tarvikkeet</t>
  </si>
  <si>
    <t>- muuttuvat palkat+sivukulut</t>
  </si>
  <si>
    <t>- muut muuttuvat kulut</t>
  </si>
  <si>
    <t>= MYYNTIKATE</t>
  </si>
  <si>
    <t xml:space="preserve">   Myyntikate-%</t>
  </si>
  <si>
    <t>TULOSBUDJETTI</t>
  </si>
  <si>
    <t>MYYNTITUOTOT</t>
  </si>
  <si>
    <t>- Myynnin oikaisuerät</t>
  </si>
  <si>
    <t>Muuttuvat kulut</t>
  </si>
  <si>
    <t>Kiinteät kulut</t>
  </si>
  <si>
    <t>- kiinteät palkat+sivukulut</t>
  </si>
  <si>
    <t>- vuokrat</t>
  </si>
  <si>
    <t>- muut kiinteät kulut</t>
  </si>
  <si>
    <t>= KÄYTTÖKATE</t>
  </si>
  <si>
    <t>Poistot/Lainojen lyhennykset</t>
  </si>
  <si>
    <t>= LIIKETULOS</t>
  </si>
  <si>
    <t>Korot ja muut rahoituskulut</t>
  </si>
  <si>
    <t>= TOIMINNALLINEN NETTOTULOS</t>
  </si>
  <si>
    <t>+/- Muut tuotot/kulut</t>
  </si>
  <si>
    <t>= KOKONAISTULOS</t>
  </si>
  <si>
    <t>PÄÄOMAN TARPEEN ERITTELYT</t>
  </si>
  <si>
    <t>Maa-alueet</t>
  </si>
  <si>
    <t>Tontti xxx</t>
  </si>
  <si>
    <t>jne…</t>
  </si>
  <si>
    <t>Maa-alueet yhteensä</t>
  </si>
  <si>
    <t>Rakennukset</t>
  </si>
  <si>
    <t>Rakennus xxx</t>
  </si>
  <si>
    <t>Rakennukset yhteensä</t>
  </si>
  <si>
    <t>Koneet</t>
  </si>
  <si>
    <t>Kone xxx</t>
  </si>
  <si>
    <t>Koneet yhteensä</t>
  </si>
  <si>
    <t>Laitteet ja kalusteet</t>
  </si>
  <si>
    <t>Laite xxx</t>
  </si>
  <si>
    <t>Kaluste yyy</t>
  </si>
  <si>
    <t>Laitteet ja kalusteet yhteensä</t>
  </si>
  <si>
    <t>Asennukset, muutostyöt yms.</t>
  </si>
  <si>
    <t>Asennus xxx</t>
  </si>
  <si>
    <t>Muutostyö yyy</t>
  </si>
  <si>
    <t>Asennukset, muutostyöt yms. yhteensä</t>
  </si>
  <si>
    <t>Muut investointiluonteiset kulut</t>
  </si>
  <si>
    <t>Muut kulut xxx</t>
  </si>
  <si>
    <t>Muut investointiluonteiset kulut yhteensä</t>
  </si>
  <si>
    <t>INVESTOINNIT YHTEENSÄ</t>
  </si>
  <si>
    <t>Kulut ennen toiminnan aloittamista</t>
  </si>
  <si>
    <t>Kulut ennen aloittamista xxx</t>
  </si>
  <si>
    <t>Kulut ennen toiminnan aloittamista yhteensä</t>
  </si>
  <si>
    <t>Ensimmäisten toimintakuukausien kulut</t>
  </si>
  <si>
    <t>Ensimmäisten kk:n kulut xxx</t>
  </si>
  <si>
    <t>Ensimmäisten toimintakuukausien kulut yhteensä</t>
  </si>
  <si>
    <t>Tarvittavat käteisvarat</t>
  </si>
  <si>
    <t>Tarvittavat käteisvarat xxx</t>
  </si>
  <si>
    <t>Tarvittavat käteisvarat yhteensä</t>
  </si>
  <si>
    <t>KÄYTTÖPÄÄOMA YHTEENSÄ</t>
  </si>
  <si>
    <t>PÄÄOMAN TARVE YHTEENSÄ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</si>
</sst>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name val="Times New Roman"/>
    </font>
    <font>
      <sz val="10"/>
      <name val="Courier"/>
    </font>
    <font>
      <b/>
      <sz val="12"/>
      <name val="Times New Roman"/>
      <family val="1"/>
    </font>
    <font>
      <u/>
      <sz val="12"/>
      <name val="Times New Roman"/>
      <family val="1"/>
    </font>
    <font>
      <b/>
      <sz val="12"/>
      <name val="Times New Roman"/>
    </font>
    <font>
      <sz val="12"/>
      <name val="Times New Roman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indexed="10"/>
      <name val="Times New Roman"/>
      <family val="1"/>
    </font>
    <font>
      <b/>
      <sz val="18"/>
      <color indexed="10"/>
      <name val="Times New Roman"/>
      <family val="1"/>
    </font>
    <font>
      <sz val="18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Times New Roman"/>
      <family val="1"/>
    </font>
    <font>
      <b/>
      <u/>
      <sz val="14"/>
      <color indexed="10"/>
      <name val="Times New Roman"/>
      <family val="1"/>
    </font>
    <font>
      <u/>
      <sz val="14"/>
      <color indexed="10"/>
      <name val="Times New Roman"/>
      <family val="1"/>
    </font>
    <font>
      <b/>
      <u/>
      <sz val="18"/>
      <color indexed="10"/>
      <name val="Times New Roman"/>
      <family val="1"/>
    </font>
    <font>
      <u/>
      <sz val="18"/>
      <color indexed="10"/>
      <name val="Times New Roman"/>
      <family val="1"/>
    </font>
    <font>
      <u/>
      <sz val="12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37" fontId="0" fillId="0" borderId="0"/>
    <xf numFmtId="0" fontId="1" fillId="0" borderId="0"/>
  </cellStyleXfs>
  <cellXfs count="77">
    <xf numFmtId="37" fontId="0" fillId="0" borderId="0" xfId="0"/>
    <xf numFmtId="37" fontId="2" fillId="0" borderId="0" xfId="0" applyFont="1"/>
    <xf numFmtId="9" fontId="0" fillId="0" borderId="0" xfId="0" applyNumberFormat="1"/>
    <xf numFmtId="37" fontId="3" fillId="0" borderId="0" xfId="0" applyFont="1"/>
    <xf numFmtId="37" fontId="4" fillId="0" borderId="0" xfId="0" applyFont="1"/>
    <xf numFmtId="37" fontId="0" fillId="0" borderId="0" xfId="0" quotePrefix="1"/>
    <xf numFmtId="37" fontId="5" fillId="0" borderId="0" xfId="0" applyFont="1"/>
    <xf numFmtId="9" fontId="3" fillId="0" borderId="0" xfId="0" applyNumberFormat="1" applyFont="1"/>
    <xf numFmtId="37" fontId="6" fillId="0" borderId="0" xfId="0" quotePrefix="1" applyFont="1"/>
    <xf numFmtId="37" fontId="3" fillId="0" borderId="0" xfId="0" applyFont="1" applyAlignment="1">
      <alignment horizontal="center"/>
    </xf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3" fontId="7" fillId="0" borderId="0" xfId="0" applyNumberFormat="1" applyFont="1"/>
    <xf numFmtId="37" fontId="0" fillId="2" borderId="1" xfId="0" applyFill="1" applyBorder="1"/>
    <xf numFmtId="37" fontId="0" fillId="2" borderId="2" xfId="0" quotePrefix="1" applyFill="1" applyBorder="1"/>
    <xf numFmtId="37" fontId="0" fillId="2" borderId="2" xfId="0" applyFill="1" applyBorder="1"/>
    <xf numFmtId="37" fontId="0" fillId="2" borderId="3" xfId="0" applyFill="1" applyBorder="1"/>
    <xf numFmtId="37" fontId="0" fillId="2" borderId="4" xfId="0" applyFill="1" applyBorder="1"/>
    <xf numFmtId="37" fontId="0" fillId="2" borderId="0" xfId="0" quotePrefix="1" applyFill="1"/>
    <xf numFmtId="37" fontId="0" fillId="2" borderId="0" xfId="0" applyFill="1"/>
    <xf numFmtId="37" fontId="0" fillId="2" borderId="5" xfId="0" applyFill="1" applyBorder="1"/>
    <xf numFmtId="9" fontId="0" fillId="2" borderId="0" xfId="0" applyNumberFormat="1" applyFill="1"/>
    <xf numFmtId="37" fontId="0" fillId="2" borderId="6" xfId="0" applyFill="1" applyBorder="1"/>
    <xf numFmtId="37" fontId="2" fillId="2" borderId="7" xfId="0" applyFont="1" applyFill="1" applyBorder="1"/>
    <xf numFmtId="37" fontId="0" fillId="2" borderId="7" xfId="0" applyFill="1" applyBorder="1"/>
    <xf numFmtId="37" fontId="0" fillId="2" borderId="8" xfId="0" applyFill="1" applyBorder="1"/>
    <xf numFmtId="37" fontId="0" fillId="2" borderId="9" xfId="0" applyFill="1" applyBorder="1"/>
    <xf numFmtId="37" fontId="0" fillId="2" borderId="10" xfId="0" applyFill="1" applyBorder="1"/>
    <xf numFmtId="3" fontId="0" fillId="2" borderId="10" xfId="0" applyNumberFormat="1" applyFill="1" applyBorder="1"/>
    <xf numFmtId="3" fontId="0" fillId="2" borderId="11" xfId="0" applyNumberFormat="1" applyFill="1" applyBorder="1"/>
    <xf numFmtId="37" fontId="0" fillId="2" borderId="9" xfId="0" quotePrefix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/>
    <xf numFmtId="3" fontId="0" fillId="2" borderId="12" xfId="0" applyNumberFormat="1" applyFill="1" applyBorder="1"/>
    <xf numFmtId="3" fontId="0" fillId="2" borderId="5" xfId="0" applyNumberFormat="1" applyFill="1" applyBorder="1"/>
    <xf numFmtId="37" fontId="2" fillId="2" borderId="6" xfId="0" applyFont="1" applyFill="1" applyBorder="1"/>
    <xf numFmtId="3" fontId="2" fillId="2" borderId="12" xfId="0" applyNumberFormat="1" applyFont="1" applyFill="1" applyBorder="1"/>
    <xf numFmtId="37" fontId="0" fillId="2" borderId="13" xfId="0" applyFill="1" applyBorder="1"/>
    <xf numFmtId="37" fontId="0" fillId="2" borderId="14" xfId="0" applyFill="1" applyBorder="1"/>
    <xf numFmtId="37" fontId="0" fillId="2" borderId="15" xfId="0" applyFill="1" applyBorder="1"/>
    <xf numFmtId="37" fontId="0" fillId="2" borderId="16" xfId="0" applyFill="1" applyBorder="1"/>
    <xf numFmtId="37" fontId="0" fillId="2" borderId="17" xfId="0" applyFill="1" applyBorder="1"/>
    <xf numFmtId="37" fontId="0" fillId="2" borderId="16" xfId="0" quotePrefix="1" applyFill="1" applyBorder="1"/>
    <xf numFmtId="37" fontId="0" fillId="2" borderId="18" xfId="0" applyFill="1" applyBorder="1"/>
    <xf numFmtId="37" fontId="0" fillId="2" borderId="19" xfId="0" applyFill="1" applyBorder="1"/>
    <xf numFmtId="9" fontId="0" fillId="2" borderId="19" xfId="0" applyNumberFormat="1" applyFill="1" applyBorder="1"/>
    <xf numFmtId="9" fontId="0" fillId="2" borderId="20" xfId="0" applyNumberFormat="1" applyFill="1" applyBorder="1"/>
    <xf numFmtId="3" fontId="0" fillId="2" borderId="2" xfId="0" applyNumberFormat="1" applyFill="1" applyBorder="1"/>
    <xf numFmtId="37" fontId="0" fillId="2" borderId="4" xfId="0" quotePrefix="1" applyFill="1" applyBorder="1"/>
    <xf numFmtId="37" fontId="11" fillId="2" borderId="21" xfId="0" applyFont="1" applyFill="1" applyBorder="1"/>
    <xf numFmtId="37" fontId="8" fillId="2" borderId="22" xfId="0" applyFont="1" applyFill="1" applyBorder="1"/>
    <xf numFmtId="37" fontId="8" fillId="2" borderId="23" xfId="0" applyFont="1" applyFill="1" applyBorder="1"/>
    <xf numFmtId="37" fontId="9" fillId="2" borderId="21" xfId="0" applyFont="1" applyFill="1" applyBorder="1"/>
    <xf numFmtId="37" fontId="12" fillId="2" borderId="9" xfId="0" quotePrefix="1" applyFont="1" applyFill="1" applyBorder="1"/>
    <xf numFmtId="37" fontId="13" fillId="2" borderId="10" xfId="0" applyFont="1" applyFill="1" applyBorder="1"/>
    <xf numFmtId="3" fontId="12" fillId="2" borderId="10" xfId="0" applyNumberFormat="1" applyFont="1" applyFill="1" applyBorder="1"/>
    <xf numFmtId="9" fontId="13" fillId="2" borderId="11" xfId="0" applyNumberFormat="1" applyFont="1" applyFill="1" applyBorder="1"/>
    <xf numFmtId="38" fontId="12" fillId="2" borderId="10" xfId="0" applyNumberFormat="1" applyFont="1" applyFill="1" applyBorder="1"/>
    <xf numFmtId="38" fontId="13" fillId="2" borderId="11" xfId="0" applyNumberFormat="1" applyFont="1" applyFill="1" applyBorder="1"/>
    <xf numFmtId="38" fontId="12" fillId="2" borderId="9" xfId="0" quotePrefix="1" applyNumberFormat="1" applyFont="1" applyFill="1" applyBorder="1"/>
    <xf numFmtId="38" fontId="13" fillId="2" borderId="10" xfId="0" applyNumberFormat="1" applyFont="1" applyFill="1" applyBorder="1"/>
    <xf numFmtId="37" fontId="14" fillId="2" borderId="21" xfId="0" applyFont="1" applyFill="1" applyBorder="1"/>
    <xf numFmtId="37" fontId="15" fillId="2" borderId="22" xfId="0" applyFont="1" applyFill="1" applyBorder="1"/>
    <xf numFmtId="37" fontId="3" fillId="2" borderId="22" xfId="0" applyFont="1" applyFill="1" applyBorder="1"/>
    <xf numFmtId="37" fontId="15" fillId="2" borderId="23" xfId="0" applyFont="1" applyFill="1" applyBorder="1"/>
    <xf numFmtId="37" fontId="16" fillId="2" borderId="21" xfId="0" applyFont="1" applyFill="1" applyBorder="1"/>
    <xf numFmtId="37" fontId="17" fillId="2" borderId="23" xfId="0" applyFont="1" applyFill="1" applyBorder="1"/>
    <xf numFmtId="37" fontId="17" fillId="2" borderId="21" xfId="0" applyFont="1" applyFill="1" applyBorder="1"/>
    <xf numFmtId="37" fontId="17" fillId="2" borderId="22" xfId="0" applyFont="1" applyFill="1" applyBorder="1"/>
    <xf numFmtId="37" fontId="17" fillId="0" borderId="23" xfId="0" applyFont="1" applyBorder="1"/>
    <xf numFmtId="37" fontId="18" fillId="0" borderId="22" xfId="0" applyFont="1" applyBorder="1"/>
    <xf numFmtId="37" fontId="10" fillId="2" borderId="22" xfId="0" applyFont="1" applyFill="1" applyBorder="1"/>
    <xf numFmtId="37" fontId="10" fillId="0" borderId="0" xfId="0" applyFont="1"/>
    <xf numFmtId="37" fontId="8" fillId="0" borderId="0" xfId="0" applyFont="1"/>
    <xf numFmtId="2" fontId="0" fillId="0" borderId="24" xfId="0" applyNumberFormat="1" applyBorder="1"/>
  </cellXfs>
  <cellStyles count="2">
    <cellStyle name="M„„ritt„m„t”n" xfId="1" xr:uid="{77171025-900D-431F-AB38-E5B16E4798B6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572-DDDA-4DAF-84F7-1082DDBA3CC5}">
  <sheetPr transitionEvaluation="1"/>
  <dimension ref="A1:H140"/>
  <sheetViews>
    <sheetView tabSelected="1" defaultGridColor="0" view="pageBreakPreview" topLeftCell="A78" colorId="22" zoomScale="110" zoomScaleNormal="100" zoomScaleSheetLayoutView="110" workbookViewId="0">
      <selection activeCell="E96" sqref="E96"/>
    </sheetView>
  </sheetViews>
  <sheetFormatPr defaultColWidth="9.625" defaultRowHeight="15.75"/>
  <cols>
    <col min="1" max="1" width="2.5" customWidth="1"/>
    <col min="2" max="2" width="15.375" customWidth="1"/>
    <col min="3" max="3" width="16" customWidth="1"/>
    <col min="4" max="4" width="13.25" customWidth="1"/>
    <col min="5" max="6" width="13.75" customWidth="1"/>
    <col min="7" max="7" width="13.875" customWidth="1"/>
    <col min="8" max="8" width="12.125" customWidth="1"/>
  </cols>
  <sheetData>
    <row r="1" spans="1:8" ht="15.95" customHeight="1">
      <c r="A1" s="67" t="s">
        <v>0</v>
      </c>
      <c r="B1" s="69"/>
      <c r="C1" s="68"/>
      <c r="D1" s="70"/>
      <c r="E1" s="71"/>
      <c r="F1" s="71"/>
      <c r="G1" s="72"/>
    </row>
    <row r="3" spans="1:8" ht="18.75">
      <c r="A3" s="63" t="s">
        <v>1</v>
      </c>
      <c r="B3" s="66"/>
      <c r="C3" s="64"/>
    </row>
    <row r="5" spans="1:8">
      <c r="A5" s="1" t="s">
        <v>2</v>
      </c>
    </row>
    <row r="6" spans="1:8">
      <c r="B6" t="s">
        <v>3</v>
      </c>
      <c r="G6">
        <f>+Erittelyt!C11</f>
        <v>0</v>
      </c>
    </row>
    <row r="7" spans="1:8">
      <c r="B7" t="s">
        <v>4</v>
      </c>
      <c r="G7">
        <f>+Erittelyt!C17</f>
        <v>0</v>
      </c>
    </row>
    <row r="8" spans="1:8">
      <c r="B8" s="5" t="s">
        <v>5</v>
      </c>
      <c r="G8">
        <v>1800</v>
      </c>
    </row>
    <row r="9" spans="1:8">
      <c r="B9" s="5" t="s">
        <v>6</v>
      </c>
      <c r="G9">
        <v>800</v>
      </c>
    </row>
    <row r="10" spans="1:8">
      <c r="B10" t="s">
        <v>7</v>
      </c>
      <c r="G10">
        <f>+Erittelyt!C39</f>
        <v>0</v>
      </c>
    </row>
    <row r="11" spans="1:8">
      <c r="B11" t="s">
        <v>8</v>
      </c>
      <c r="G11">
        <v>2000</v>
      </c>
    </row>
    <row r="12" spans="1:8">
      <c r="B12" s="4" t="s">
        <v>9</v>
      </c>
      <c r="G12">
        <f>SUM(G6:G11)</f>
        <v>4600</v>
      </c>
    </row>
    <row r="14" spans="1:8">
      <c r="A14" s="1" t="s">
        <v>10</v>
      </c>
    </row>
    <row r="15" spans="1:8">
      <c r="B15" t="s">
        <v>11</v>
      </c>
      <c r="G15">
        <f>30300</f>
        <v>30300</v>
      </c>
      <c r="H15" t="s">
        <v>12</v>
      </c>
    </row>
    <row r="16" spans="1:8">
      <c r="B16" t="s">
        <v>13</v>
      </c>
      <c r="G16" s="76">
        <f>30300*3</f>
        <v>90900</v>
      </c>
      <c r="H16" t="s">
        <v>14</v>
      </c>
    </row>
    <row r="17" spans="1:7">
      <c r="B17" t="s">
        <v>15</v>
      </c>
    </row>
    <row r="18" spans="1:7">
      <c r="B18" t="s">
        <v>16</v>
      </c>
      <c r="G18">
        <f>+Erittelyt!C67</f>
        <v>0</v>
      </c>
    </row>
    <row r="19" spans="1:7">
      <c r="B19" s="4" t="s">
        <v>17</v>
      </c>
      <c r="G19">
        <f>SUM(G15:G18)</f>
        <v>121200</v>
      </c>
    </row>
    <row r="22" spans="1:7" ht="19.5" customHeight="1">
      <c r="A22" s="14"/>
      <c r="B22" s="15" t="s">
        <v>18</v>
      </c>
      <c r="C22" s="16"/>
      <c r="D22" s="16"/>
      <c r="E22" s="16"/>
      <c r="F22" s="16"/>
      <c r="G22" s="17">
        <f>G12</f>
        <v>4600</v>
      </c>
    </row>
    <row r="23" spans="1:7" ht="19.5" customHeight="1">
      <c r="A23" s="18"/>
      <c r="B23" s="19" t="s">
        <v>19</v>
      </c>
      <c r="C23" s="20"/>
      <c r="D23" s="20"/>
      <c r="E23" s="20"/>
      <c r="F23" s="20"/>
      <c r="G23" s="21">
        <f>G19</f>
        <v>121200</v>
      </c>
    </row>
    <row r="24" spans="1:7" ht="19.5" customHeight="1">
      <c r="A24" s="18"/>
      <c r="B24" s="19" t="s">
        <v>20</v>
      </c>
      <c r="C24" s="20"/>
      <c r="D24" s="20"/>
      <c r="E24" s="22">
        <v>0.1</v>
      </c>
      <c r="F24" s="20"/>
      <c r="G24" s="21">
        <f>E24*(G23+G22)</f>
        <v>12580</v>
      </c>
    </row>
    <row r="25" spans="1:7" ht="21.75" customHeight="1">
      <c r="A25" s="23"/>
      <c r="B25" s="24" t="s">
        <v>21</v>
      </c>
      <c r="C25" s="25"/>
      <c r="D25" s="25"/>
      <c r="E25" s="25"/>
      <c r="F25" s="25"/>
      <c r="G25" s="26">
        <f>SUM(G22:G24)</f>
        <v>138380</v>
      </c>
    </row>
    <row r="28" spans="1:7" ht="18.75">
      <c r="A28" s="63" t="s">
        <v>22</v>
      </c>
      <c r="B28" s="64"/>
    </row>
    <row r="29" spans="1:7">
      <c r="A29" s="1"/>
    </row>
    <row r="31" spans="1:7" ht="21" customHeight="1">
      <c r="A31" s="14"/>
      <c r="B31" s="16" t="s">
        <v>23</v>
      </c>
      <c r="C31" s="16"/>
      <c r="D31" s="16"/>
      <c r="E31" s="16"/>
      <c r="F31" s="16"/>
      <c r="G31" s="17">
        <v>20000</v>
      </c>
    </row>
    <row r="32" spans="1:7" ht="19.5" customHeight="1">
      <c r="A32" s="18"/>
      <c r="B32" s="20" t="s">
        <v>24</v>
      </c>
      <c r="C32" s="20"/>
      <c r="D32" s="20"/>
      <c r="E32" s="20"/>
      <c r="F32" s="20"/>
      <c r="G32" s="21">
        <f>+G25-G31</f>
        <v>118380</v>
      </c>
    </row>
    <row r="33" spans="1:7" ht="18" customHeight="1">
      <c r="A33" s="18"/>
      <c r="B33" s="20" t="s">
        <v>25</v>
      </c>
      <c r="C33" s="20"/>
      <c r="D33" s="20"/>
      <c r="E33" s="20"/>
      <c r="F33" s="20"/>
      <c r="G33" s="21"/>
    </row>
    <row r="34" spans="1:7" ht="25.5" customHeight="1">
      <c r="A34" s="23"/>
      <c r="B34" s="24" t="s">
        <v>26</v>
      </c>
      <c r="C34" s="25"/>
      <c r="D34" s="25"/>
      <c r="E34" s="25"/>
      <c r="F34" s="25"/>
      <c r="G34" s="26">
        <f>SUM(G31:G33)</f>
        <v>138380</v>
      </c>
    </row>
    <row r="35" spans="1:7">
      <c r="B35" s="1"/>
    </row>
    <row r="36" spans="1:7">
      <c r="B36" s="6" t="s">
        <v>27</v>
      </c>
    </row>
    <row r="38" spans="1:7">
      <c r="B38" s="3" t="s">
        <v>28</v>
      </c>
      <c r="C38" s="3"/>
      <c r="D38" s="3"/>
      <c r="E38" s="9" t="s">
        <v>29</v>
      </c>
      <c r="F38" s="9" t="s">
        <v>30</v>
      </c>
      <c r="G38" s="9" t="s">
        <v>31</v>
      </c>
    </row>
    <row r="40" spans="1:7">
      <c r="B40" t="s">
        <v>32</v>
      </c>
      <c r="E40">
        <v>60000</v>
      </c>
      <c r="F40">
        <v>25</v>
      </c>
      <c r="G40" s="2">
        <v>0.05</v>
      </c>
    </row>
    <row r="41" spans="1:7">
      <c r="B41" t="s">
        <v>33</v>
      </c>
      <c r="E41">
        <v>60000</v>
      </c>
      <c r="F41">
        <v>25</v>
      </c>
      <c r="G41" s="2">
        <v>0.05</v>
      </c>
    </row>
    <row r="42" spans="1:7">
      <c r="G42" s="2"/>
    </row>
    <row r="43" spans="1:7">
      <c r="G43" s="2"/>
    </row>
    <row r="44" spans="1:7">
      <c r="B44" t="s">
        <v>34</v>
      </c>
      <c r="G44" s="2"/>
    </row>
    <row r="45" spans="1:7">
      <c r="G45" s="2"/>
    </row>
    <row r="46" spans="1:7">
      <c r="B46" s="3" t="s">
        <v>35</v>
      </c>
      <c r="C46" s="3"/>
      <c r="D46" s="3"/>
      <c r="E46" s="3" t="s">
        <v>36</v>
      </c>
      <c r="F46" s="3"/>
      <c r="G46" s="7" t="s">
        <v>37</v>
      </c>
    </row>
    <row r="47" spans="1:7">
      <c r="E47" s="8"/>
      <c r="G47" s="2"/>
    </row>
    <row r="48" spans="1:7">
      <c r="G48" s="2"/>
    </row>
    <row r="49" spans="1:7">
      <c r="G49" s="2"/>
    </row>
    <row r="50" spans="1:7">
      <c r="G50" s="2"/>
    </row>
    <row r="52" spans="1:7" ht="18.75">
      <c r="A52" s="63" t="s">
        <v>38</v>
      </c>
      <c r="B52" s="66"/>
      <c r="C52" s="66"/>
      <c r="D52" s="64"/>
    </row>
    <row r="54" spans="1:7">
      <c r="A54" s="1" t="s">
        <v>39</v>
      </c>
    </row>
    <row r="56" spans="1:7">
      <c r="B56" t="s">
        <v>40</v>
      </c>
      <c r="E56" t="s">
        <v>41</v>
      </c>
      <c r="F56" t="s">
        <v>42</v>
      </c>
      <c r="G56" t="s">
        <v>43</v>
      </c>
    </row>
    <row r="57" spans="1:7">
      <c r="B57" t="s">
        <v>44</v>
      </c>
      <c r="E57">
        <f>G8+G9</f>
        <v>2600</v>
      </c>
      <c r="F57" s="2">
        <v>0.25</v>
      </c>
      <c r="G57">
        <f>E57*F57</f>
        <v>650</v>
      </c>
    </row>
    <row r="58" spans="1:7">
      <c r="B58" t="s">
        <v>4</v>
      </c>
      <c r="E58">
        <f>G7+G10</f>
        <v>0</v>
      </c>
      <c r="F58" s="2">
        <v>7.0000000000000007E-2</v>
      </c>
      <c r="G58">
        <f>E58*F58</f>
        <v>0</v>
      </c>
    </row>
    <row r="59" spans="1:7">
      <c r="B59" t="s">
        <v>45</v>
      </c>
      <c r="E59">
        <f>G11</f>
        <v>2000</v>
      </c>
      <c r="F59" s="2">
        <v>0.2</v>
      </c>
      <c r="G59">
        <f>E59*F59</f>
        <v>400</v>
      </c>
    </row>
    <row r="60" spans="1:7">
      <c r="B60" t="s">
        <v>46</v>
      </c>
      <c r="F60" s="2"/>
      <c r="G60">
        <f>SUM(G57:G59)</f>
        <v>1050</v>
      </c>
    </row>
    <row r="61" spans="1:7">
      <c r="E61" s="2"/>
    </row>
    <row r="62" spans="1:7">
      <c r="B62" t="s">
        <v>47</v>
      </c>
      <c r="G62">
        <f>E40/F40+E41/F41</f>
        <v>4800</v>
      </c>
    </row>
    <row r="64" spans="1:7">
      <c r="B64" t="s">
        <v>48</v>
      </c>
      <c r="G64">
        <f>E40*G40+E41*G41</f>
        <v>6000</v>
      </c>
    </row>
    <row r="66" spans="1:7">
      <c r="B66" t="s">
        <v>49</v>
      </c>
    </row>
    <row r="67" spans="1:7">
      <c r="B67" t="s">
        <v>50</v>
      </c>
      <c r="G67">
        <f>G31</f>
        <v>20000</v>
      </c>
    </row>
    <row r="68" spans="1:7">
      <c r="B68" t="s">
        <v>51</v>
      </c>
      <c r="G68">
        <f>G32</f>
        <v>118380</v>
      </c>
    </row>
    <row r="69" spans="1:7">
      <c r="B69" s="1" t="s">
        <v>52</v>
      </c>
      <c r="G69">
        <f>SUM(G67:G68)</f>
        <v>138380</v>
      </c>
    </row>
    <row r="71" spans="1:7">
      <c r="B71" t="s">
        <v>53</v>
      </c>
      <c r="G71" s="2">
        <v>0.2</v>
      </c>
    </row>
    <row r="73" spans="1:7">
      <c r="A73" s="51" t="s">
        <v>54</v>
      </c>
      <c r="B73" s="53"/>
      <c r="C73" s="52"/>
    </row>
    <row r="75" spans="1:7" ht="21" customHeight="1">
      <c r="B75" s="27" t="s">
        <v>55</v>
      </c>
      <c r="C75" s="28"/>
      <c r="D75" s="28"/>
      <c r="E75" s="29"/>
      <c r="F75" s="29"/>
      <c r="G75" s="30">
        <f>G69*G71-G64</f>
        <v>21676</v>
      </c>
    </row>
    <row r="76" spans="1:7" ht="21" customHeight="1">
      <c r="B76" s="27" t="s">
        <v>56</v>
      </c>
      <c r="C76" s="28"/>
      <c r="D76" s="28"/>
      <c r="E76" s="29"/>
      <c r="F76" s="29"/>
      <c r="G76" s="30">
        <f>G64</f>
        <v>6000</v>
      </c>
    </row>
    <row r="77" spans="1:7" ht="21" customHeight="1">
      <c r="B77" s="31" t="s">
        <v>57</v>
      </c>
      <c r="C77" s="28"/>
      <c r="D77" s="28"/>
      <c r="E77" s="29"/>
      <c r="F77" s="29"/>
      <c r="G77" s="30">
        <f>SUM(G75:G76)</f>
        <v>27676</v>
      </c>
    </row>
    <row r="78" spans="1:7" ht="21" customHeight="1">
      <c r="B78" s="27" t="s">
        <v>58</v>
      </c>
      <c r="C78" s="28"/>
      <c r="D78" s="28"/>
      <c r="E78" s="29"/>
      <c r="F78" s="29"/>
      <c r="G78" s="30">
        <f>IF(G60&gt;G62,G60,G62)</f>
        <v>4800</v>
      </c>
    </row>
    <row r="79" spans="1:7" ht="21" customHeight="1">
      <c r="B79" s="23" t="s">
        <v>59</v>
      </c>
      <c r="C79" s="25"/>
      <c r="D79" s="25"/>
      <c r="E79" s="32"/>
      <c r="F79" s="32"/>
      <c r="G79" s="33">
        <f>SUM(G77:G78)</f>
        <v>32476</v>
      </c>
    </row>
    <row r="80" spans="1:7" ht="21" customHeight="1">
      <c r="B80" s="23" t="s">
        <v>60</v>
      </c>
      <c r="C80" s="25"/>
      <c r="D80" s="25"/>
      <c r="E80" s="32"/>
      <c r="F80" s="32"/>
      <c r="G80" s="33"/>
    </row>
    <row r="81" spans="2:7">
      <c r="B81" s="18"/>
      <c r="C81" s="20" t="s">
        <v>61</v>
      </c>
      <c r="D81" s="20"/>
      <c r="E81" s="34"/>
      <c r="F81" s="35">
        <v>6000</v>
      </c>
      <c r="G81" s="36"/>
    </row>
    <row r="82" spans="2:7">
      <c r="B82" s="18"/>
      <c r="C82" s="20" t="s">
        <v>62</v>
      </c>
      <c r="D82" s="20"/>
      <c r="E82" s="34"/>
      <c r="F82" s="35"/>
      <c r="G82" s="36"/>
    </row>
    <row r="83" spans="2:7">
      <c r="B83" s="18"/>
      <c r="C83" s="20" t="s">
        <v>63</v>
      </c>
      <c r="D83" s="20"/>
      <c r="E83" s="34"/>
      <c r="F83" s="34"/>
      <c r="G83" s="36"/>
    </row>
    <row r="84" spans="2:7">
      <c r="B84" s="18"/>
      <c r="C84" s="20" t="s">
        <v>64</v>
      </c>
      <c r="D84" s="20"/>
      <c r="E84" s="35">
        <v>0</v>
      </c>
      <c r="F84" s="34"/>
      <c r="G84" s="36"/>
    </row>
    <row r="85" spans="2:7">
      <c r="B85" s="18"/>
      <c r="C85" s="20" t="s">
        <v>65</v>
      </c>
      <c r="D85" s="20"/>
      <c r="E85" s="35">
        <v>200</v>
      </c>
      <c r="F85" s="34"/>
      <c r="G85" s="36"/>
    </row>
    <row r="86" spans="2:7">
      <c r="B86" s="18"/>
      <c r="C86" s="20" t="s">
        <v>66</v>
      </c>
      <c r="D86" s="20"/>
      <c r="E86" s="35">
        <v>0</v>
      </c>
      <c r="F86" s="34"/>
      <c r="G86" s="36"/>
    </row>
    <row r="87" spans="2:7">
      <c r="B87" s="18"/>
      <c r="C87" s="20" t="s">
        <v>67</v>
      </c>
      <c r="D87" s="20"/>
      <c r="E87" s="35"/>
      <c r="F87" s="34"/>
      <c r="G87" s="36"/>
    </row>
    <row r="88" spans="2:7">
      <c r="B88" s="18"/>
      <c r="C88" s="20" t="s">
        <v>68</v>
      </c>
      <c r="D88" s="20"/>
      <c r="E88" s="35"/>
      <c r="F88" s="34"/>
      <c r="G88" s="36"/>
    </row>
    <row r="89" spans="2:7">
      <c r="B89" s="18"/>
      <c r="C89" s="20" t="s">
        <v>69</v>
      </c>
      <c r="D89" s="20"/>
      <c r="E89" s="35">
        <v>200</v>
      </c>
      <c r="F89" s="34"/>
      <c r="G89" s="36"/>
    </row>
    <row r="90" spans="2:7">
      <c r="B90" s="18"/>
      <c r="C90" s="20" t="s">
        <v>70</v>
      </c>
      <c r="D90" s="20"/>
      <c r="E90" s="35">
        <v>1000</v>
      </c>
      <c r="F90" s="34"/>
      <c r="G90" s="36"/>
    </row>
    <row r="91" spans="2:7">
      <c r="B91" s="18"/>
      <c r="C91" s="20" t="s">
        <v>71</v>
      </c>
      <c r="D91" s="20"/>
      <c r="E91" s="35"/>
      <c r="F91" s="34"/>
      <c r="G91" s="36"/>
    </row>
    <row r="92" spans="2:7">
      <c r="B92" s="18"/>
      <c r="C92" s="20" t="s">
        <v>72</v>
      </c>
      <c r="D92" s="20"/>
      <c r="E92" s="35"/>
      <c r="F92" s="34"/>
      <c r="G92" s="36"/>
    </row>
    <row r="93" spans="2:7">
      <c r="B93" s="18"/>
      <c r="C93" s="20" t="s">
        <v>73</v>
      </c>
      <c r="D93" s="20"/>
      <c r="E93" s="35"/>
      <c r="F93" s="34"/>
      <c r="G93" s="36"/>
    </row>
    <row r="94" spans="2:7">
      <c r="B94" s="18"/>
      <c r="C94" s="20" t="s">
        <v>74</v>
      </c>
      <c r="D94" s="20"/>
      <c r="E94" s="35"/>
      <c r="F94" s="34"/>
      <c r="G94" s="36"/>
    </row>
    <row r="95" spans="2:7">
      <c r="B95" s="18"/>
      <c r="C95" s="20" t="s">
        <v>75</v>
      </c>
      <c r="D95" s="20"/>
      <c r="E95" s="35"/>
      <c r="F95" s="34"/>
      <c r="G95" s="36"/>
    </row>
    <row r="96" spans="2:7">
      <c r="B96" s="18"/>
      <c r="C96" s="20" t="s">
        <v>76</v>
      </c>
      <c r="D96" s="20"/>
      <c r="E96" s="35"/>
      <c r="F96" s="35">
        <f>SUM(E84:E96)</f>
        <v>1400</v>
      </c>
      <c r="G96" s="36"/>
    </row>
    <row r="97" spans="1:8">
      <c r="B97" s="18"/>
      <c r="C97" s="20" t="s">
        <v>77</v>
      </c>
      <c r="D97" s="20"/>
      <c r="E97" s="34"/>
      <c r="F97" s="34"/>
      <c r="G97" s="35">
        <f>F96+F82+F81</f>
        <v>7400</v>
      </c>
    </row>
    <row r="98" spans="1:8" ht="20.25" customHeight="1">
      <c r="B98" s="37" t="s">
        <v>78</v>
      </c>
      <c r="C98" s="25"/>
      <c r="D98" s="25"/>
      <c r="E98" s="32"/>
      <c r="F98" s="32"/>
      <c r="G98" s="38">
        <f>G97+G79</f>
        <v>39876</v>
      </c>
    </row>
    <row r="101" spans="1:8">
      <c r="A101" s="51" t="s">
        <v>79</v>
      </c>
      <c r="B101" s="53"/>
      <c r="C101" s="53"/>
      <c r="D101" s="52"/>
    </row>
    <row r="103" spans="1:8">
      <c r="B103" s="39"/>
      <c r="C103" s="40"/>
      <c r="D103" s="40" t="s">
        <v>80</v>
      </c>
      <c r="E103" s="40" t="s">
        <v>81</v>
      </c>
      <c r="F103" s="40" t="s">
        <v>82</v>
      </c>
      <c r="G103" s="40" t="s">
        <v>83</v>
      </c>
      <c r="H103" s="41" t="s">
        <v>84</v>
      </c>
    </row>
    <row r="104" spans="1:8">
      <c r="B104" s="42"/>
      <c r="C104" s="20"/>
      <c r="D104" s="20"/>
      <c r="E104" s="20"/>
      <c r="F104" s="20"/>
      <c r="G104" s="20"/>
      <c r="H104" s="43"/>
    </row>
    <row r="105" spans="1:8">
      <c r="B105" s="42" t="s">
        <v>85</v>
      </c>
      <c r="C105" s="20"/>
      <c r="D105" s="20">
        <v>4568</v>
      </c>
      <c r="E105" s="20">
        <v>101</v>
      </c>
      <c r="F105" s="20">
        <v>49</v>
      </c>
      <c r="G105" s="20">
        <v>10</v>
      </c>
      <c r="H105" s="43"/>
    </row>
    <row r="106" spans="1:8">
      <c r="B106" s="42" t="s">
        <v>86</v>
      </c>
      <c r="C106" s="20"/>
      <c r="D106" s="20">
        <v>8</v>
      </c>
      <c r="E106" s="20">
        <v>40</v>
      </c>
      <c r="F106" s="20">
        <v>60</v>
      </c>
      <c r="G106" s="20">
        <v>80</v>
      </c>
      <c r="H106" s="43"/>
    </row>
    <row r="107" spans="1:8">
      <c r="B107" s="42" t="s">
        <v>87</v>
      </c>
      <c r="C107" s="20"/>
      <c r="D107" s="20">
        <v>1</v>
      </c>
      <c r="E107" s="20">
        <v>10</v>
      </c>
      <c r="F107" s="20">
        <v>15</v>
      </c>
      <c r="G107" s="20">
        <v>20</v>
      </c>
      <c r="H107" s="43"/>
    </row>
    <row r="108" spans="1:8">
      <c r="B108" s="42"/>
      <c r="C108" s="20"/>
      <c r="D108" s="20"/>
      <c r="E108" s="20"/>
      <c r="F108" s="20"/>
      <c r="G108" s="20"/>
      <c r="H108" s="43"/>
    </row>
    <row r="109" spans="1:8">
      <c r="B109" s="42"/>
      <c r="C109" s="20"/>
      <c r="D109" s="20"/>
      <c r="E109" s="20"/>
      <c r="F109" s="20"/>
      <c r="G109" s="20"/>
      <c r="H109" s="43"/>
    </row>
    <row r="110" spans="1:8">
      <c r="B110" s="42" t="s">
        <v>88</v>
      </c>
      <c r="C110" s="20"/>
      <c r="D110" s="20">
        <f>D111+D112</f>
        <v>44583.68</v>
      </c>
      <c r="E110" s="20">
        <f>E111+E112</f>
        <v>4928.8</v>
      </c>
      <c r="F110" s="20">
        <f>F111+F112</f>
        <v>3586.8</v>
      </c>
      <c r="G110" s="20">
        <f>G111+G112</f>
        <v>976</v>
      </c>
      <c r="H110" s="43">
        <f t="shared" ref="H110:H115" si="0">SUM(D110:G110)</f>
        <v>54075.280000000006</v>
      </c>
    </row>
    <row r="111" spans="1:8">
      <c r="B111" s="42" t="s">
        <v>89</v>
      </c>
      <c r="C111" s="20"/>
      <c r="D111" s="20">
        <f>D112*0.22</f>
        <v>8039.68</v>
      </c>
      <c r="E111" s="20">
        <f>E112*0.22</f>
        <v>888.8</v>
      </c>
      <c r="F111" s="20">
        <f>F112*0.22</f>
        <v>646.79999999999995</v>
      </c>
      <c r="G111" s="20">
        <f>G112*0.22</f>
        <v>176</v>
      </c>
      <c r="H111" s="43">
        <f t="shared" si="0"/>
        <v>9751.2799999999988</v>
      </c>
    </row>
    <row r="112" spans="1:8" ht="21" customHeight="1">
      <c r="B112" s="42" t="s">
        <v>90</v>
      </c>
      <c r="C112" s="20"/>
      <c r="D112" s="20">
        <f>D105*D106</f>
        <v>36544</v>
      </c>
      <c r="E112" s="20">
        <f>E105*E106</f>
        <v>4040</v>
      </c>
      <c r="F112" s="20">
        <f>F105*F106</f>
        <v>2940</v>
      </c>
      <c r="G112" s="20">
        <f>G105*G106</f>
        <v>800</v>
      </c>
      <c r="H112" s="43">
        <f t="shared" si="0"/>
        <v>44324</v>
      </c>
    </row>
    <row r="113" spans="1:8">
      <c r="B113" s="42" t="s">
        <v>91</v>
      </c>
      <c r="C113" s="20"/>
      <c r="D113" s="20">
        <f>D107*D105</f>
        <v>4568</v>
      </c>
      <c r="E113" s="20">
        <f>E107*E105</f>
        <v>1010</v>
      </c>
      <c r="F113" s="20">
        <f>F107*F105</f>
        <v>735</v>
      </c>
      <c r="G113" s="20">
        <f>G107*G105</f>
        <v>200</v>
      </c>
      <c r="H113" s="43">
        <f t="shared" si="0"/>
        <v>6513</v>
      </c>
    </row>
    <row r="114" spans="1:8">
      <c r="B114" s="44" t="s">
        <v>92</v>
      </c>
      <c r="C114" s="20"/>
      <c r="D114" s="20"/>
      <c r="E114" s="20"/>
      <c r="F114" s="20"/>
      <c r="G114" s="20"/>
      <c r="H114" s="43">
        <f t="shared" si="0"/>
        <v>0</v>
      </c>
    </row>
    <row r="115" spans="1:8">
      <c r="B115" s="42" t="s">
        <v>93</v>
      </c>
      <c r="C115" s="20"/>
      <c r="D115" s="20"/>
      <c r="E115" s="20"/>
      <c r="F115" s="20"/>
      <c r="G115" s="20"/>
      <c r="H115" s="43">
        <f t="shared" si="0"/>
        <v>0</v>
      </c>
    </row>
    <row r="116" spans="1:8" ht="19.5" customHeight="1">
      <c r="B116" s="42" t="s">
        <v>94</v>
      </c>
      <c r="C116" s="20"/>
      <c r="D116" s="20">
        <f>D112-D113-D114-D115</f>
        <v>31976</v>
      </c>
      <c r="E116" s="20">
        <f>E112-E113-E114-E115</f>
        <v>3030</v>
      </c>
      <c r="F116" s="20">
        <f>F112-F113-F114-F115</f>
        <v>2205</v>
      </c>
      <c r="G116" s="20">
        <f>G112-G113-G114-G115</f>
        <v>600</v>
      </c>
      <c r="H116" s="43">
        <f>H112-H113-H114-H115</f>
        <v>37811</v>
      </c>
    </row>
    <row r="117" spans="1:8">
      <c r="B117" s="45" t="s">
        <v>95</v>
      </c>
      <c r="C117" s="46"/>
      <c r="D117" s="47">
        <f>D116/D112</f>
        <v>0.875</v>
      </c>
      <c r="E117" s="47">
        <f>E116/E112</f>
        <v>0.75</v>
      </c>
      <c r="F117" s="47">
        <f>F116/F112</f>
        <v>0.75</v>
      </c>
      <c r="G117" s="47">
        <f>G116/G112</f>
        <v>0.75</v>
      </c>
      <c r="H117" s="48">
        <f>H116/H112</f>
        <v>0.85305929067773667</v>
      </c>
    </row>
    <row r="120" spans="1:8" ht="18.75">
      <c r="A120" s="63" t="s">
        <v>96</v>
      </c>
      <c r="B120" s="64"/>
      <c r="C120" s="65"/>
    </row>
    <row r="122" spans="1:8">
      <c r="B122" s="14" t="s">
        <v>97</v>
      </c>
      <c r="C122" s="16"/>
      <c r="D122" s="16"/>
      <c r="E122" s="16"/>
      <c r="F122" s="16"/>
      <c r="G122" s="49">
        <f>+H110</f>
        <v>54075.280000000006</v>
      </c>
      <c r="H122" s="17"/>
    </row>
    <row r="123" spans="1:8" ht="15" customHeight="1">
      <c r="A123" s="1"/>
      <c r="B123" s="50" t="s">
        <v>98</v>
      </c>
      <c r="C123" s="20"/>
      <c r="D123" s="20"/>
      <c r="E123" s="20"/>
      <c r="F123" s="20"/>
      <c r="G123" s="34">
        <f>+H111</f>
        <v>9751.2799999999988</v>
      </c>
      <c r="H123" s="21"/>
    </row>
    <row r="124" spans="1:8" ht="20.25" customHeight="1">
      <c r="B124" s="55" t="s">
        <v>90</v>
      </c>
      <c r="C124" s="56"/>
      <c r="D124" s="56"/>
      <c r="E124" s="56"/>
      <c r="F124" s="56"/>
      <c r="G124" s="57">
        <f>+G122-G123</f>
        <v>44324.000000000007</v>
      </c>
      <c r="H124" s="58">
        <f>+G124/G124</f>
        <v>1</v>
      </c>
    </row>
    <row r="125" spans="1:8">
      <c r="B125" s="18" t="s">
        <v>99</v>
      </c>
      <c r="C125" s="20"/>
      <c r="D125" s="20"/>
      <c r="E125" s="20"/>
      <c r="F125" s="20"/>
      <c r="G125" s="34"/>
      <c r="H125" s="21"/>
    </row>
    <row r="126" spans="1:8">
      <c r="B126" s="50" t="s">
        <v>91</v>
      </c>
      <c r="C126" s="20"/>
      <c r="D126" s="20"/>
      <c r="E126" s="20"/>
      <c r="F126" s="20"/>
      <c r="G126" s="34">
        <f>+H113</f>
        <v>6513</v>
      </c>
      <c r="H126" s="21"/>
    </row>
    <row r="127" spans="1:8">
      <c r="B127" s="50" t="s">
        <v>92</v>
      </c>
      <c r="C127" s="20"/>
      <c r="D127" s="20"/>
      <c r="E127" s="20"/>
      <c r="F127" s="20"/>
      <c r="G127" s="34">
        <f>+H114</f>
        <v>0</v>
      </c>
      <c r="H127" s="21"/>
    </row>
    <row r="128" spans="1:8">
      <c r="B128" s="50" t="s">
        <v>93</v>
      </c>
      <c r="C128" s="20"/>
      <c r="D128" s="20"/>
      <c r="E128" s="20"/>
      <c r="F128" s="20"/>
      <c r="G128" s="34">
        <f>+H115</f>
        <v>0</v>
      </c>
      <c r="H128" s="21"/>
    </row>
    <row r="129" spans="2:8" ht="21" customHeight="1">
      <c r="B129" s="61" t="s">
        <v>94</v>
      </c>
      <c r="C129" s="62"/>
      <c r="D129" s="62"/>
      <c r="E129" s="62"/>
      <c r="F129" s="62"/>
      <c r="G129" s="59">
        <f>+G124-G126-G127-G128</f>
        <v>37811.000000000007</v>
      </c>
      <c r="H129" s="60">
        <f>+G129/$G$124</f>
        <v>0.85305929067773667</v>
      </c>
    </row>
    <row r="130" spans="2:8">
      <c r="B130" s="18" t="s">
        <v>100</v>
      </c>
      <c r="C130" s="20"/>
      <c r="D130" s="20"/>
      <c r="E130" s="20"/>
      <c r="F130" s="20"/>
      <c r="G130" s="34"/>
      <c r="H130" s="21"/>
    </row>
    <row r="131" spans="2:8">
      <c r="B131" s="50" t="s">
        <v>101</v>
      </c>
      <c r="C131" s="20"/>
      <c r="D131" s="20"/>
      <c r="E131" s="20"/>
      <c r="F131" s="20"/>
      <c r="G131" s="34">
        <f>+F81</f>
        <v>6000</v>
      </c>
      <c r="H131" s="21"/>
    </row>
    <row r="132" spans="2:8">
      <c r="B132" s="50" t="s">
        <v>102</v>
      </c>
      <c r="C132" s="20"/>
      <c r="D132" s="20"/>
      <c r="E132" s="20"/>
      <c r="F132" s="20"/>
      <c r="G132" s="34">
        <f>+F82</f>
        <v>0</v>
      </c>
      <c r="H132" s="21"/>
    </row>
    <row r="133" spans="2:8">
      <c r="B133" s="50" t="s">
        <v>103</v>
      </c>
      <c r="C133" s="20"/>
      <c r="D133" s="20"/>
      <c r="E133" s="20"/>
      <c r="F133" s="20"/>
      <c r="G133" s="34">
        <f>+F96</f>
        <v>1400</v>
      </c>
      <c r="H133" s="21"/>
    </row>
    <row r="134" spans="2:8" ht="19.5" customHeight="1">
      <c r="B134" s="61" t="s">
        <v>104</v>
      </c>
      <c r="C134" s="62"/>
      <c r="D134" s="62"/>
      <c r="E134" s="62"/>
      <c r="F134" s="62"/>
      <c r="G134" s="59">
        <f>+G129-G131-G132-G133</f>
        <v>30411.000000000007</v>
      </c>
      <c r="H134" s="60">
        <f>+G134/$G$124</f>
        <v>0.68610684956231394</v>
      </c>
    </row>
    <row r="135" spans="2:8">
      <c r="B135" s="18" t="s">
        <v>105</v>
      </c>
      <c r="C135" s="20"/>
      <c r="D135" s="20"/>
      <c r="E135" s="20"/>
      <c r="F135" s="20"/>
      <c r="G135" s="34">
        <f>+G78</f>
        <v>4800</v>
      </c>
      <c r="H135" s="21"/>
    </row>
    <row r="136" spans="2:8" ht="21.75" customHeight="1">
      <c r="B136" s="61" t="s">
        <v>106</v>
      </c>
      <c r="C136" s="62"/>
      <c r="D136" s="62"/>
      <c r="E136" s="62"/>
      <c r="F136" s="62"/>
      <c r="G136" s="59">
        <f>+G134-G135</f>
        <v>25611.000000000007</v>
      </c>
      <c r="H136" s="60">
        <f>+G136/$G$124</f>
        <v>0.57781337424420187</v>
      </c>
    </row>
    <row r="137" spans="2:8">
      <c r="B137" s="18" t="s">
        <v>107</v>
      </c>
      <c r="C137" s="20"/>
      <c r="D137" s="20"/>
      <c r="E137" s="20"/>
      <c r="F137" s="20"/>
      <c r="G137" s="34">
        <f>+G76</f>
        <v>6000</v>
      </c>
      <c r="H137" s="21"/>
    </row>
    <row r="138" spans="2:8" ht="21" customHeight="1">
      <c r="B138" s="61" t="s">
        <v>108</v>
      </c>
      <c r="C138" s="62"/>
      <c r="D138" s="62"/>
      <c r="E138" s="62"/>
      <c r="F138" s="62"/>
      <c r="G138" s="59">
        <f>+G136-G137</f>
        <v>19611.000000000007</v>
      </c>
      <c r="H138" s="60">
        <f>+G138/$G$124</f>
        <v>0.44244653009656176</v>
      </c>
    </row>
    <row r="139" spans="2:8">
      <c r="B139" s="50" t="s">
        <v>109</v>
      </c>
      <c r="C139" s="20"/>
      <c r="D139" s="20"/>
      <c r="E139" s="20"/>
      <c r="F139" s="20"/>
      <c r="G139" s="34"/>
      <c r="H139" s="21"/>
    </row>
    <row r="140" spans="2:8" ht="21.75" customHeight="1">
      <c r="B140" s="55" t="s">
        <v>110</v>
      </c>
      <c r="C140" s="56"/>
      <c r="D140" s="56"/>
      <c r="E140" s="56"/>
      <c r="F140" s="56"/>
      <c r="G140" s="59">
        <f>+G138+G139</f>
        <v>19611.000000000007</v>
      </c>
      <c r="H140" s="60">
        <f>+G140/$G$124</f>
        <v>0.44244653009656176</v>
      </c>
    </row>
  </sheetData>
  <phoneticPr fontId="0" type="noConversion"/>
  <pageMargins left="0.51181102362204722" right="0.51181102362204722" top="0.51181102362204722" bottom="0.6692913385826772" header="0.51181102362204722" footer="0.51181102362204722"/>
  <pageSetup paperSize="9" scale="82" orientation="portrait" r:id="rId1"/>
  <headerFooter alignWithMargins="0"/>
  <rowBreaks count="2" manualBreakCount="2">
    <brk id="50" max="16383" man="1"/>
    <brk id="9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4EE3-9CA9-4413-BC48-A67F4D1B2AA5}">
  <dimension ref="A1:G71"/>
  <sheetViews>
    <sheetView view="pageBreakPreview" topLeftCell="A49" zoomScale="130" zoomScaleNormal="100" zoomScaleSheetLayoutView="130" workbookViewId="0">
      <selection activeCell="B23" sqref="B23"/>
    </sheetView>
  </sheetViews>
  <sheetFormatPr defaultRowHeight="15.75"/>
  <cols>
    <col min="1" max="1" width="4.25" style="10" customWidth="1"/>
    <col min="2" max="2" width="44.5" style="10" customWidth="1"/>
    <col min="3" max="3" width="16.5" style="10" customWidth="1"/>
    <col min="4" max="4" width="27.5" style="10" customWidth="1"/>
    <col min="5" max="16384" width="9" style="10"/>
  </cols>
  <sheetData>
    <row r="1" spans="1:7" ht="23.25">
      <c r="A1" s="54" t="s">
        <v>0</v>
      </c>
      <c r="B1" s="73"/>
      <c r="C1" s="74"/>
      <c r="D1" s="74"/>
      <c r="E1" s="74"/>
      <c r="F1" s="74"/>
      <c r="G1" s="75"/>
    </row>
    <row r="3" spans="1:7" ht="18.75">
      <c r="A3" s="13" t="s">
        <v>111</v>
      </c>
    </row>
    <row r="5" spans="1:7">
      <c r="A5" s="11" t="s">
        <v>2</v>
      </c>
    </row>
    <row r="6" spans="1:7">
      <c r="A6" s="12"/>
    </row>
    <row r="7" spans="1:7">
      <c r="B7" s="11" t="s">
        <v>112</v>
      </c>
    </row>
    <row r="8" spans="1:7">
      <c r="B8" s="10" t="s">
        <v>113</v>
      </c>
    </row>
    <row r="9" spans="1:7">
      <c r="B9" s="10" t="s">
        <v>114</v>
      </c>
    </row>
    <row r="10" spans="1:7">
      <c r="B10" s="10" t="s">
        <v>114</v>
      </c>
    </row>
    <row r="11" spans="1:7">
      <c r="B11" s="11" t="s">
        <v>115</v>
      </c>
      <c r="C11" s="11">
        <f>SUM(C8:C10)</f>
        <v>0</v>
      </c>
    </row>
    <row r="13" spans="1:7">
      <c r="B13" s="11" t="s">
        <v>116</v>
      </c>
    </row>
    <row r="14" spans="1:7">
      <c r="B14" s="10" t="s">
        <v>117</v>
      </c>
    </row>
    <row r="15" spans="1:7">
      <c r="B15" s="10" t="s">
        <v>114</v>
      </c>
    </row>
    <row r="16" spans="1:7">
      <c r="B16" s="10" t="s">
        <v>114</v>
      </c>
    </row>
    <row r="17" spans="2:3">
      <c r="B17" s="11" t="s">
        <v>118</v>
      </c>
      <c r="C17" s="11">
        <f>SUM(C14:C16)</f>
        <v>0</v>
      </c>
    </row>
    <row r="19" spans="2:3">
      <c r="B19" s="11" t="s">
        <v>119</v>
      </c>
    </row>
    <row r="20" spans="2:3">
      <c r="B20" s="10" t="s">
        <v>120</v>
      </c>
    </row>
    <row r="21" spans="2:3">
      <c r="B21" s="10" t="s">
        <v>114</v>
      </c>
    </row>
    <row r="22" spans="2:3">
      <c r="B22" s="10" t="s">
        <v>114</v>
      </c>
    </row>
    <row r="23" spans="2:3">
      <c r="B23" s="10" t="s">
        <v>114</v>
      </c>
    </row>
    <row r="24" spans="2:3">
      <c r="B24" s="10" t="s">
        <v>114</v>
      </c>
    </row>
    <row r="25" spans="2:3">
      <c r="B25" s="11" t="s">
        <v>121</v>
      </c>
      <c r="C25" s="11">
        <f>SUM(C20:C24)</f>
        <v>0</v>
      </c>
    </row>
    <row r="27" spans="2:3">
      <c r="B27" s="11" t="s">
        <v>122</v>
      </c>
    </row>
    <row r="28" spans="2:3">
      <c r="B28" s="10" t="s">
        <v>123</v>
      </c>
    </row>
    <row r="29" spans="2:3">
      <c r="B29" s="10" t="s">
        <v>124</v>
      </c>
    </row>
    <row r="30" spans="2:3">
      <c r="B30" s="10" t="s">
        <v>114</v>
      </c>
    </row>
    <row r="31" spans="2:3">
      <c r="B31" s="10" t="s">
        <v>114</v>
      </c>
    </row>
    <row r="32" spans="2:3">
      <c r="B32" s="11" t="s">
        <v>125</v>
      </c>
      <c r="C32" s="11">
        <f>SUM(C28:C31)</f>
        <v>0</v>
      </c>
    </row>
    <row r="34" spans="1:3">
      <c r="B34" s="11" t="s">
        <v>126</v>
      </c>
    </row>
    <row r="35" spans="1:3">
      <c r="B35" s="10" t="s">
        <v>127</v>
      </c>
    </row>
    <row r="36" spans="1:3">
      <c r="B36" s="10" t="s">
        <v>128</v>
      </c>
    </row>
    <row r="37" spans="1:3">
      <c r="B37" s="10" t="s">
        <v>114</v>
      </c>
    </row>
    <row r="38" spans="1:3">
      <c r="B38" s="10" t="s">
        <v>114</v>
      </c>
    </row>
    <row r="39" spans="1:3">
      <c r="B39" s="11" t="s">
        <v>129</v>
      </c>
      <c r="C39" s="11">
        <f>SUM(C35:C38)</f>
        <v>0</v>
      </c>
    </row>
    <row r="41" spans="1:3">
      <c r="B41" s="11" t="s">
        <v>130</v>
      </c>
    </row>
    <row r="42" spans="1:3">
      <c r="B42" s="10" t="s">
        <v>131</v>
      </c>
    </row>
    <row r="43" spans="1:3">
      <c r="B43" s="10" t="s">
        <v>114</v>
      </c>
    </row>
    <row r="44" spans="1:3">
      <c r="B44" s="10" t="s">
        <v>114</v>
      </c>
    </row>
    <row r="45" spans="1:3">
      <c r="B45" s="11" t="s">
        <v>132</v>
      </c>
      <c r="C45" s="11">
        <f>SUM(C42:C44)</f>
        <v>0</v>
      </c>
    </row>
    <row r="47" spans="1:3">
      <c r="A47" s="11" t="s">
        <v>133</v>
      </c>
      <c r="C47" s="11">
        <f>+C45+C39+C32+C25+C17+C11</f>
        <v>0</v>
      </c>
    </row>
    <row r="50" spans="1:3">
      <c r="A50" s="11" t="s">
        <v>10</v>
      </c>
    </row>
    <row r="52" spans="1:3">
      <c r="B52" s="11" t="s">
        <v>134</v>
      </c>
    </row>
    <row r="53" spans="1:3">
      <c r="B53" s="10" t="s">
        <v>135</v>
      </c>
    </row>
    <row r="54" spans="1:3">
      <c r="B54" s="10" t="s">
        <v>114</v>
      </c>
    </row>
    <row r="55" spans="1:3">
      <c r="B55" s="10" t="s">
        <v>114</v>
      </c>
    </row>
    <row r="56" spans="1:3">
      <c r="B56" s="11" t="s">
        <v>136</v>
      </c>
      <c r="C56" s="11">
        <f>SUM(C53:C55)</f>
        <v>0</v>
      </c>
    </row>
    <row r="58" spans="1:3">
      <c r="B58" s="1" t="s">
        <v>137</v>
      </c>
    </row>
    <row r="59" spans="1:3">
      <c r="B59" s="10" t="s">
        <v>138</v>
      </c>
    </row>
    <row r="60" spans="1:3">
      <c r="B60" s="10" t="s">
        <v>114</v>
      </c>
    </row>
    <row r="61" spans="1:3">
      <c r="B61" s="10" t="s">
        <v>114</v>
      </c>
    </row>
    <row r="62" spans="1:3">
      <c r="B62" s="1" t="s">
        <v>139</v>
      </c>
      <c r="C62" s="11">
        <f>SUM(C59:C61)</f>
        <v>0</v>
      </c>
    </row>
    <row r="64" spans="1:3">
      <c r="B64" s="1" t="s">
        <v>140</v>
      </c>
    </row>
    <row r="65" spans="1:3">
      <c r="B65" s="10" t="s">
        <v>141</v>
      </c>
    </row>
    <row r="66" spans="1:3">
      <c r="B66" s="10" t="s">
        <v>114</v>
      </c>
    </row>
    <row r="67" spans="1:3">
      <c r="B67" s="1" t="s">
        <v>142</v>
      </c>
      <c r="C67" s="11">
        <f>SUM(C65:C66)</f>
        <v>0</v>
      </c>
    </row>
    <row r="69" spans="1:3">
      <c r="A69" s="11" t="s">
        <v>143</v>
      </c>
      <c r="C69" s="11">
        <f>+C67+C62+C56</f>
        <v>0</v>
      </c>
    </row>
    <row r="71" spans="1:3" ht="18.75">
      <c r="A71" s="13" t="s">
        <v>144</v>
      </c>
      <c r="C71" s="13">
        <f>+C69+C47</f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4F5279FD214EA894D598E22511E0" ma:contentTypeVersion="7" ma:contentTypeDescription="Create a new document." ma:contentTypeScope="" ma:versionID="2b81a473cadc0f90526cff5f99db0444">
  <xsd:schema xmlns:xsd="http://www.w3.org/2001/XMLSchema" xmlns:xs="http://www.w3.org/2001/XMLSchema" xmlns:p="http://schemas.microsoft.com/office/2006/metadata/properties" xmlns:ns2="1a778db1-bc2d-4f39-b374-cc7e39ea396a" targetNamespace="http://schemas.microsoft.com/office/2006/metadata/properties" ma:root="true" ma:fieldsID="11ba3c5da9346e2802cf78594aa31cb9" ns2:_="">
    <xsd:import namespace="1a778db1-bc2d-4f39-b374-cc7e39ea3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78db1-bc2d-4f39-b374-cc7e39ea3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00750-EDFF-4CA4-8B74-2A25B541E375}"/>
</file>

<file path=customXml/itemProps2.xml><?xml version="1.0" encoding="utf-8"?>
<ds:datastoreItem xmlns:ds="http://schemas.openxmlformats.org/officeDocument/2006/customXml" ds:itemID="{97D53A9D-BFB6-48D1-A72E-32EA0DF3A0C4}"/>
</file>

<file path=customXml/itemProps3.xml><?xml version="1.0" encoding="utf-8"?>
<ds:datastoreItem xmlns:ds="http://schemas.openxmlformats.org/officeDocument/2006/customXml" ds:itemID="{CD275A9F-9D5D-44A7-8FF1-65920D8F4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Konsulttitsto Seppo Hoffrén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 Lahdenkauppi</dc:creator>
  <cp:keywords/>
  <dc:description/>
  <cp:lastModifiedBy>Veikka Koskinen</cp:lastModifiedBy>
  <cp:revision/>
  <dcterms:created xsi:type="dcterms:W3CDTF">1998-08-31T18:50:18Z</dcterms:created>
  <dcterms:modified xsi:type="dcterms:W3CDTF">2026-02-18T18:30:55Z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0x010100DB634F5279FD214EA894D598E22511E0</vt:lpwstr>
  </property>
</Properties>
</file>